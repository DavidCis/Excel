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c_c\Downloads\"/>
    </mc:Choice>
  </mc:AlternateContent>
  <xr:revisionPtr revIDLastSave="0" documentId="8_{9D28AC85-0F73-4D08-8D5C-BCEF9B43A697}" xr6:coauthVersionLast="45" xr6:coauthVersionMax="45" xr10:uidLastSave="{00000000-0000-0000-0000-000000000000}"/>
  <bookViews>
    <workbookView xWindow="-120" yWindow="-120" windowWidth="29040" windowHeight="16440" tabRatio="934" xr2:uid="{8BBA087F-6B82-4CCA-B178-A265639B0BF4}"/>
  </bookViews>
  <sheets>
    <sheet name="RECETARIO" sheetId="1" r:id="rId1"/>
    <sheet name="Ingredientes" sheetId="2" r:id="rId2"/>
    <sheet name="Sanguche de Tocino" sheetId="3" r:id="rId3"/>
    <sheet name="Chile con Carne" sheetId="4" r:id="rId4"/>
    <sheet name="Spagetti a la Bolognesa" sheetId="5" r:id="rId5"/>
    <sheet name="Ensalada de Pollo" sheetId="6" r:id="rId6"/>
    <sheet name="Desayuno Inglés" sheetId="7" r:id="rId7"/>
    <sheet name="Pastel de Ternera" sheetId="8" r:id="rId8"/>
    <sheet name="Pastel de Cordero" sheetId="9" r:id="rId9"/>
  </sheets>
  <externalReferences>
    <externalReference r:id="rId10"/>
  </externalReferences>
  <definedNames>
    <definedName name="ingredientes">OFFSET(Ingredientes!$A$1,0,0,COUNTA(Ingredientes!$A:$A),1)</definedName>
    <definedName name="MyList">OFFSET('[1]Ingredients Master'!$A$1,0,0,COUNTA('[1]Ingredients Master'!$A:$A),1)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5" i="1"/>
  <c r="K5" i="1"/>
  <c r="K9" i="1"/>
  <c r="J8" i="1"/>
  <c r="J6" i="1"/>
  <c r="J10" i="1"/>
  <c r="K6" i="1"/>
  <c r="K10" i="1"/>
  <c r="K7" i="1"/>
  <c r="J7" i="1"/>
  <c r="J11" i="1"/>
  <c r="K11" i="1"/>
  <c r="K8" i="1"/>
  <c r="J5" i="1"/>
  <c r="J9" i="1"/>
  <c r="I5" i="1"/>
  <c r="D7" i="4"/>
  <c r="D8" i="4"/>
  <c r="D9" i="4"/>
  <c r="D10" i="4"/>
  <c r="D11" i="4"/>
  <c r="D6" i="4"/>
  <c r="F5" i="1"/>
  <c r="F7" i="1"/>
  <c r="F9" i="1"/>
  <c r="F11" i="1"/>
  <c r="G5" i="1"/>
  <c r="G7" i="1"/>
  <c r="G11" i="1"/>
  <c r="H5" i="1"/>
  <c r="H7" i="1"/>
  <c r="H9" i="1"/>
  <c r="H11" i="1"/>
  <c r="I11" i="1"/>
  <c r="F8" i="1"/>
  <c r="I7" i="1"/>
  <c r="I9" i="1"/>
  <c r="F6" i="1"/>
  <c r="H6" i="1"/>
  <c r="H8" i="1"/>
  <c r="H10" i="1"/>
  <c r="F10" i="1"/>
  <c r="G9" i="1"/>
  <c r="G6" i="1"/>
  <c r="G8" i="1"/>
  <c r="G10" i="1"/>
  <c r="I6" i="1"/>
  <c r="I8" i="1"/>
  <c r="I10" i="1"/>
  <c r="E6" i="1"/>
  <c r="E7" i="1"/>
  <c r="E8" i="1"/>
  <c r="E9" i="1"/>
  <c r="E10" i="1"/>
  <c r="E11" i="1"/>
  <c r="E5" i="1"/>
  <c r="D11" i="1" l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<sst xmlns="http://schemas.openxmlformats.org/spreadsheetml/2006/main" count="164" uniqueCount="51">
  <si>
    <t>RECETARIO</t>
  </si>
  <si>
    <t>Comida</t>
  </si>
  <si>
    <t>Descripción</t>
  </si>
  <si>
    <t>Enlace</t>
  </si>
  <si>
    <t>% Posible</t>
  </si>
  <si>
    <t>Tocino</t>
  </si>
  <si>
    <t>Lechuga</t>
  </si>
  <si>
    <t>Tomate</t>
  </si>
  <si>
    <t>Carne</t>
  </si>
  <si>
    <t>Frijol Riñón</t>
  </si>
  <si>
    <t>Tomate en Conserva</t>
  </si>
  <si>
    <t>Chile en Polvo</t>
  </si>
  <si>
    <t>Sánguche de Tocino</t>
  </si>
  <si>
    <t>Porciones</t>
  </si>
  <si>
    <t>Ingredientes</t>
  </si>
  <si>
    <t>Cantidad</t>
  </si>
  <si>
    <t>Unidad de Medida</t>
  </si>
  <si>
    <t>Manteca</t>
  </si>
  <si>
    <t>Pan</t>
  </si>
  <si>
    <t>Rebanada(s)</t>
  </si>
  <si>
    <t>Gramo(s)</t>
  </si>
  <si>
    <t>Unidad(es)</t>
  </si>
  <si>
    <t>Chile con Carne</t>
  </si>
  <si>
    <t>Unidad</t>
  </si>
  <si>
    <t>Pimiento Rojo</t>
  </si>
  <si>
    <t>Pimiento Verde</t>
  </si>
  <si>
    <t>A gusto</t>
  </si>
  <si>
    <t>Spagetti a la Bolognesa</t>
  </si>
  <si>
    <t>Oregano</t>
  </si>
  <si>
    <t>Spagetti</t>
  </si>
  <si>
    <t>Ensalada de Pollo</t>
  </si>
  <si>
    <t>Pechuga de Pollo</t>
  </si>
  <si>
    <t>Pepino</t>
  </si>
  <si>
    <t>Quedo</t>
  </si>
  <si>
    <t>Zanahoria</t>
  </si>
  <si>
    <t>Chatni</t>
  </si>
  <si>
    <t>Chorizo</t>
  </si>
  <si>
    <t>Huevos</t>
  </si>
  <si>
    <t>Desayuno Inglés</t>
  </si>
  <si>
    <t>Pastel de Ternera</t>
  </si>
  <si>
    <t>Brocoli</t>
  </si>
  <si>
    <t>Papas</t>
  </si>
  <si>
    <t>Nabas</t>
  </si>
  <si>
    <t>Coliflor</t>
  </si>
  <si>
    <t>Pastel de Cordero</t>
  </si>
  <si>
    <t>Cordero</t>
  </si>
  <si>
    <t>Sanguche de Tocino</t>
  </si>
  <si>
    <t>lechuga</t>
  </si>
  <si>
    <t>tomate</t>
  </si>
  <si>
    <t>manteca</t>
  </si>
  <si>
    <t>pan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</si>
</sst>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8"/>
      <color theme="9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0" fontId="4" fillId="0" borderId="0" xfId="2"/>
    <xf numFmtId="0" fontId="4" fillId="0" borderId="0" xfId="2" quotePrefix="1"/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10" fontId="0" fillId="0" borderId="0" xfId="1" applyNumberFormat="1" applyFont="1"/>
    <xf numFmtId="10" fontId="0" fillId="2" borderId="0" xfId="1" applyNumberFormat="1" applyFont="1" applyFill="1"/>
  </cellXfs>
  <cellStyles count="3">
    <cellStyle name="Hipervínculo" xfId="2" builtinId="8"/>
    <cellStyle name="Normal" xfId="0" builtinId="0"/>
    <cellStyle name="Porcentaje" xfId="1" builtinId="5"/>
  </cellStyles>
  <dxfs count="35"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1</xdr:row>
          <xdr:rowOff>114300</xdr:rowOff>
        </xdr:from>
        <xdr:to>
          <xdr:col>7</xdr:col>
          <xdr:colOff>619125</xdr:colOff>
          <xdr:row>4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Recetario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</xdr:row>
          <xdr:rowOff>95250</xdr:rowOff>
        </xdr:from>
        <xdr:to>
          <xdr:col>8</xdr:col>
          <xdr:colOff>342900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B24B776C-D3DE-446C-A76B-E024886092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Recetario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1</xdr:row>
          <xdr:rowOff>114300</xdr:rowOff>
        </xdr:from>
        <xdr:to>
          <xdr:col>8</xdr:col>
          <xdr:colOff>523875</xdr:colOff>
          <xdr:row>4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F47EA699-1876-4162-AE4F-F7064CE552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Recetario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1</xdr:row>
          <xdr:rowOff>114300</xdr:rowOff>
        </xdr:from>
        <xdr:to>
          <xdr:col>8</xdr:col>
          <xdr:colOff>523875</xdr:colOff>
          <xdr:row>4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9F3589D-6587-4866-BC2F-2A3C8F4EF1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Recetario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1</xdr:row>
          <xdr:rowOff>114300</xdr:rowOff>
        </xdr:from>
        <xdr:to>
          <xdr:col>8</xdr:col>
          <xdr:colOff>523875</xdr:colOff>
          <xdr:row>4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423F9BE-D894-4BF2-8591-E987E1C993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Recetario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1</xdr:row>
          <xdr:rowOff>114300</xdr:rowOff>
        </xdr:from>
        <xdr:to>
          <xdr:col>8</xdr:col>
          <xdr:colOff>523875</xdr:colOff>
          <xdr:row>4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E023D898-60DC-42A2-A69D-DD1E608B1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Recetario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1</xdr:row>
          <xdr:rowOff>114300</xdr:rowOff>
        </xdr:from>
        <xdr:to>
          <xdr:col>8</xdr:col>
          <xdr:colOff>523875</xdr:colOff>
          <xdr:row>4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25EE4103-D348-481E-9BEB-BAF9246379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Recetario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ownloads/What-To-Have-For-Dinn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Ingredients Master"/>
      <sheetName val="BLT"/>
      <sheetName val="Chili Con Carne"/>
      <sheetName val="Spag Bol"/>
      <sheetName val="Chicken Salad"/>
      <sheetName val="Full English"/>
      <sheetName val="Cottage Pie"/>
      <sheetName val="Sheperds Pie"/>
    </sheetNames>
    <sheetDataSet>
      <sheetData sheetId="0"/>
      <sheetData sheetId="1">
        <row r="1">
          <cell r="A1" t="str">
            <v>Bacon</v>
          </cell>
        </row>
        <row r="2">
          <cell r="A2" t="str">
            <v>Beef</v>
          </cell>
        </row>
        <row r="3">
          <cell r="A3" t="str">
            <v>Bread</v>
          </cell>
        </row>
        <row r="4">
          <cell r="A4" t="str">
            <v>Brocoli</v>
          </cell>
        </row>
        <row r="5">
          <cell r="A5" t="str">
            <v>Butter</v>
          </cell>
        </row>
        <row r="6">
          <cell r="A6" t="str">
            <v>Carrot</v>
          </cell>
        </row>
        <row r="7">
          <cell r="A7" t="str">
            <v>Cauliflower</v>
          </cell>
        </row>
        <row r="8">
          <cell r="A8" t="str">
            <v>Cheese</v>
          </cell>
        </row>
        <row r="9">
          <cell r="A9" t="str">
            <v>Chicken breast</v>
          </cell>
        </row>
        <row r="10">
          <cell r="A10" t="str">
            <v>Chili Powder</v>
          </cell>
        </row>
        <row r="11">
          <cell r="A11" t="str">
            <v>Chutney</v>
          </cell>
        </row>
        <row r="12">
          <cell r="A12" t="str">
            <v>Cucumber</v>
          </cell>
        </row>
        <row r="13">
          <cell r="A13" t="str">
            <v>Eggs</v>
          </cell>
        </row>
        <row r="14">
          <cell r="A14" t="str">
            <v>Green Pepper</v>
          </cell>
        </row>
        <row r="15">
          <cell r="A15" t="str">
            <v>Lamb</v>
          </cell>
        </row>
        <row r="16">
          <cell r="A16" t="str">
            <v>Lettuce</v>
          </cell>
        </row>
        <row r="17">
          <cell r="A17" t="str">
            <v>Oregano</v>
          </cell>
        </row>
        <row r="18">
          <cell r="A18" t="str">
            <v>Potato</v>
          </cell>
        </row>
        <row r="19">
          <cell r="A19" t="str">
            <v>Red Kidney Beans</v>
          </cell>
        </row>
        <row r="20">
          <cell r="A20" t="str">
            <v>Red Pepper</v>
          </cell>
        </row>
        <row r="21">
          <cell r="A21" t="str">
            <v>Sausage</v>
          </cell>
        </row>
        <row r="22">
          <cell r="A22" t="str">
            <v>Spaghetti</v>
          </cell>
        </row>
        <row r="23">
          <cell r="A23" t="str">
            <v>Swede</v>
          </cell>
        </row>
        <row r="24">
          <cell r="A24" t="str">
            <v>Tinned Tomatoes</v>
          </cell>
        </row>
        <row r="25">
          <cell r="A25" t="str">
            <v>Tomato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33EFE-C2AF-49AD-9C5A-FECD90BBCC13}">
  <sheetPr codeName="Hoja1"/>
  <dimension ref="A1:K11"/>
  <sheetViews>
    <sheetView tabSelected="1" workbookViewId="0">
      <selection activeCell="C6" sqref="C6"/>
    </sheetView>
  </sheetViews>
  <sheetFormatPr baseColWidth="10" defaultRowHeight="15" x14ac:dyDescent="0.25"/>
  <cols>
    <col min="1" max="1" width="23" customWidth="1"/>
    <col min="4" max="4" width="11.42578125" style="8"/>
  </cols>
  <sheetData>
    <row r="1" spans="1:11" ht="23.25" x14ac:dyDescent="0.35">
      <c r="A1" s="2" t="s">
        <v>0</v>
      </c>
      <c r="B1" s="2"/>
      <c r="C1" s="2"/>
      <c r="D1" s="2"/>
      <c r="E1" s="2"/>
    </row>
    <row r="3" spans="1:11" x14ac:dyDescent="0.25">
      <c r="E3" s="5" t="s">
        <v>14</v>
      </c>
      <c r="F3" s="5"/>
      <c r="G3" s="5"/>
      <c r="H3" s="5"/>
      <c r="I3" s="5"/>
      <c r="J3" s="5"/>
      <c r="K3" s="5"/>
    </row>
    <row r="4" spans="1:11" x14ac:dyDescent="0.25">
      <c r="A4" s="6" t="s">
        <v>1</v>
      </c>
      <c r="B4" s="6" t="s">
        <v>2</v>
      </c>
      <c r="C4" s="6" t="s">
        <v>3</v>
      </c>
      <c r="D4" s="9" t="s">
        <v>4</v>
      </c>
      <c r="E4" t="s">
        <v>5</v>
      </c>
      <c r="F4" t="s">
        <v>47</v>
      </c>
      <c r="G4" t="s">
        <v>48</v>
      </c>
      <c r="H4" t="s">
        <v>49</v>
      </c>
      <c r="I4" t="s">
        <v>50</v>
      </c>
      <c r="J4" t="s">
        <v>35</v>
      </c>
      <c r="K4" t="s">
        <v>36</v>
      </c>
    </row>
    <row r="5" spans="1:11" x14ac:dyDescent="0.25">
      <c r="A5" s="4" t="s">
        <v>46</v>
      </c>
      <c r="C5" s="3" t="str">
        <f>HYPERLINK("#'Sanguche de Tocino'!A1","Click aqui")</f>
        <v>Click aqui</v>
      </c>
      <c r="D5" s="8">
        <f ca="1">COUNTIF(E5:K5,"Si")/COUNTA($E$5:$K$5)</f>
        <v>0.7142857142857143</v>
      </c>
      <c r="E5" s="7" t="str">
        <f ca="1">IF(ISERROR(MATCH(E$4,INDIRECT("'"&amp;$A5&amp;"'!A:A"),0)),"No","SI")</f>
        <v>SI</v>
      </c>
      <c r="F5" s="7" t="str">
        <f t="shared" ref="F5:K5" ca="1" si="0">IF(ISERROR(MATCH(F$4,INDIRECT("'"&amp;$A5&amp;"'!A:A"),0)),"No","SI")</f>
        <v>SI</v>
      </c>
      <c r="G5" s="7" t="str">
        <f t="shared" ca="1" si="0"/>
        <v>SI</v>
      </c>
      <c r="H5" s="7" t="str">
        <f t="shared" ca="1" si="0"/>
        <v>SI</v>
      </c>
      <c r="I5" s="7" t="str">
        <f t="shared" ca="1" si="0"/>
        <v>SI</v>
      </c>
      <c r="J5" s="7" t="str">
        <f t="shared" ca="1" si="0"/>
        <v>No</v>
      </c>
      <c r="K5" s="7" t="str">
        <f t="shared" ca="1" si="0"/>
        <v>No</v>
      </c>
    </row>
    <row r="6" spans="1:11" x14ac:dyDescent="0.25">
      <c r="A6" s="4" t="s">
        <v>22</v>
      </c>
      <c r="C6" s="3" t="str">
        <f>HYPERLINK("#'Chile con Carne'!A1","click aqui")</f>
        <v>click aqui</v>
      </c>
      <c r="D6" s="8">
        <f t="shared" ref="D6:D11" ca="1" si="1">COUNTIF(E6:K6,"Si")/COUNTA($E$5:$K$5)</f>
        <v>0</v>
      </c>
      <c r="E6" s="7" t="str">
        <f t="shared" ref="E6:K11" ca="1" si="2">IF(ISERROR(MATCH(E$4,INDIRECT("'"&amp;$A6&amp;"'!A:A"),0)),"No","SI")</f>
        <v>No</v>
      </c>
      <c r="F6" s="7" t="str">
        <f t="shared" ca="1" si="2"/>
        <v>No</v>
      </c>
      <c r="G6" s="7" t="str">
        <f t="shared" ca="1" si="2"/>
        <v>No</v>
      </c>
      <c r="H6" s="7" t="str">
        <f t="shared" ca="1" si="2"/>
        <v>No</v>
      </c>
      <c r="I6" s="7" t="str">
        <f t="shared" ca="1" si="2"/>
        <v>No</v>
      </c>
      <c r="J6" s="7" t="str">
        <f t="shared" ca="1" si="2"/>
        <v>No</v>
      </c>
      <c r="K6" s="7" t="str">
        <f t="shared" ca="1" si="2"/>
        <v>No</v>
      </c>
    </row>
    <row r="7" spans="1:11" x14ac:dyDescent="0.25">
      <c r="A7" s="4" t="s">
        <v>27</v>
      </c>
      <c r="D7" s="8">
        <f t="shared" ca="1" si="1"/>
        <v>0</v>
      </c>
      <c r="E7" s="7" t="str">
        <f t="shared" ca="1" si="2"/>
        <v>No</v>
      </c>
      <c r="F7" s="7" t="str">
        <f t="shared" ca="1" si="2"/>
        <v>No</v>
      </c>
      <c r="G7" s="7" t="str">
        <f t="shared" ca="1" si="2"/>
        <v>No</v>
      </c>
      <c r="H7" s="7" t="str">
        <f t="shared" ca="1" si="2"/>
        <v>No</v>
      </c>
      <c r="I7" s="7" t="str">
        <f t="shared" ca="1" si="2"/>
        <v>No</v>
      </c>
      <c r="J7" s="7" t="str">
        <f t="shared" ca="1" si="2"/>
        <v>No</v>
      </c>
      <c r="K7" s="7" t="str">
        <f t="shared" ca="1" si="2"/>
        <v>No</v>
      </c>
    </row>
    <row r="8" spans="1:11" x14ac:dyDescent="0.25">
      <c r="A8" s="4" t="s">
        <v>30</v>
      </c>
      <c r="D8" s="8">
        <f t="shared" ca="1" si="1"/>
        <v>0.42857142857142855</v>
      </c>
      <c r="E8" s="7" t="str">
        <f t="shared" ca="1" si="2"/>
        <v>No</v>
      </c>
      <c r="F8" s="7" t="str">
        <f t="shared" ca="1" si="2"/>
        <v>SI</v>
      </c>
      <c r="G8" s="7" t="str">
        <f t="shared" ca="1" si="2"/>
        <v>SI</v>
      </c>
      <c r="H8" s="7" t="str">
        <f t="shared" ca="1" si="2"/>
        <v>No</v>
      </c>
      <c r="I8" s="7" t="str">
        <f t="shared" ca="1" si="2"/>
        <v>No</v>
      </c>
      <c r="J8" s="7" t="str">
        <f t="shared" ca="1" si="2"/>
        <v>SI</v>
      </c>
      <c r="K8" s="7" t="str">
        <f t="shared" ca="1" si="2"/>
        <v>No</v>
      </c>
    </row>
    <row r="9" spans="1:11" x14ac:dyDescent="0.25">
      <c r="A9" s="4" t="s">
        <v>38</v>
      </c>
      <c r="D9" s="8">
        <f t="shared" ca="1" si="1"/>
        <v>0.2857142857142857</v>
      </c>
      <c r="E9" s="7" t="str">
        <f t="shared" ca="1" si="2"/>
        <v>SI</v>
      </c>
      <c r="F9" s="7" t="str">
        <f t="shared" ca="1" si="2"/>
        <v>No</v>
      </c>
      <c r="G9" s="7" t="str">
        <f t="shared" ca="1" si="2"/>
        <v>No</v>
      </c>
      <c r="H9" s="7" t="str">
        <f t="shared" ca="1" si="2"/>
        <v>No</v>
      </c>
      <c r="I9" s="7" t="str">
        <f t="shared" ca="1" si="2"/>
        <v>No</v>
      </c>
      <c r="J9" s="7" t="str">
        <f t="shared" ca="1" si="2"/>
        <v>No</v>
      </c>
      <c r="K9" s="7" t="str">
        <f t="shared" ca="1" si="2"/>
        <v>SI</v>
      </c>
    </row>
    <row r="10" spans="1:11" x14ac:dyDescent="0.25">
      <c r="A10" s="4" t="s">
        <v>39</v>
      </c>
      <c r="D10" s="8">
        <f t="shared" ca="1" si="1"/>
        <v>0</v>
      </c>
      <c r="E10" s="7" t="str">
        <f t="shared" ca="1" si="2"/>
        <v>No</v>
      </c>
      <c r="F10" s="7" t="str">
        <f t="shared" ca="1" si="2"/>
        <v>No</v>
      </c>
      <c r="G10" s="7" t="str">
        <f t="shared" ca="1" si="2"/>
        <v>No</v>
      </c>
      <c r="H10" s="7" t="str">
        <f t="shared" ca="1" si="2"/>
        <v>No</v>
      </c>
      <c r="I10" s="7" t="str">
        <f t="shared" ca="1" si="2"/>
        <v>No</v>
      </c>
      <c r="J10" s="7" t="str">
        <f t="shared" ca="1" si="2"/>
        <v>No</v>
      </c>
      <c r="K10" s="7" t="str">
        <f t="shared" ca="1" si="2"/>
        <v>No</v>
      </c>
    </row>
    <row r="11" spans="1:11" x14ac:dyDescent="0.25">
      <c r="A11" s="4" t="s">
        <v>44</v>
      </c>
      <c r="D11" s="8">
        <f t="shared" ca="1" si="1"/>
        <v>0</v>
      </c>
      <c r="E11" s="7" t="str">
        <f t="shared" ca="1" si="2"/>
        <v>No</v>
      </c>
      <c r="F11" s="7" t="str">
        <f t="shared" ca="1" si="2"/>
        <v>No</v>
      </c>
      <c r="G11" s="7" t="str">
        <f t="shared" ca="1" si="2"/>
        <v>No</v>
      </c>
      <c r="H11" s="7" t="str">
        <f t="shared" ca="1" si="2"/>
        <v>No</v>
      </c>
      <c r="I11" s="7" t="str">
        <f t="shared" ca="1" si="2"/>
        <v>No</v>
      </c>
      <c r="J11" s="7" t="str">
        <f t="shared" ca="1" si="2"/>
        <v>No</v>
      </c>
      <c r="K11" s="7" t="str">
        <f t="shared" ca="1" si="2"/>
        <v>No</v>
      </c>
    </row>
  </sheetData>
  <mergeCells count="2">
    <mergeCell ref="A1:E1"/>
    <mergeCell ref="E3:K3"/>
  </mergeCells>
  <conditionalFormatting sqref="D5:D11">
    <cfRule type="iconSet" priority="4">
      <iconSet iconSet="3TrafficLights2">
        <cfvo type="percent" val="0"/>
        <cfvo type="percent" val="33"/>
        <cfvo type="percent" val="67"/>
      </iconSet>
    </cfRule>
    <cfRule type="iconSet" priority="3">
      <iconSet>
        <cfvo type="percent" val="0"/>
        <cfvo type="percent" val="0" gte="0"/>
        <cfvo type="percent" val="100"/>
      </iconSet>
    </cfRule>
    <cfRule type="iconSet" priority="2">
      <iconSet>
        <cfvo type="percent" val="0"/>
        <cfvo type="percent" val="0"/>
        <cfvo type="percent" val="100"/>
      </iconSet>
    </cfRule>
    <cfRule type="iconSet" priority="1">
      <iconSet>
        <cfvo type="percent" val="0"/>
        <cfvo type="percent" val="0" gte="0"/>
        <cfvo type="percent" val="100"/>
      </iconSet>
    </cfRule>
  </conditionalFormatting>
  <dataValidations count="1">
    <dataValidation type="list" allowBlank="1" showInputMessage="1" showErrorMessage="1" sqref="E4:K4" xr:uid="{CE3F8C8C-C776-4840-AA76-DE4964C0EC81}">
      <formula1>ingredientes</formula1>
    </dataValidation>
  </dataValidations>
  <hyperlinks>
    <hyperlink ref="A5" location="'Sanguche de Tocino'!A1" display="'Sanguche de Tocino'!A1" xr:uid="{AAC1AE12-10F0-4C5E-9419-CA68E57161D2}"/>
    <hyperlink ref="A6" location="'Chile con Carne'!A1" display="'Chile con Carne'!A1" xr:uid="{FA1AFD5E-83D9-4F43-9FD2-A261BF3B8B3B}"/>
    <hyperlink ref="A7" location="'Spagetti a la Bolognesa'!A1" display="'Spagetti a la Bolognesa'!A1" xr:uid="{AE7319DC-643C-4DF3-82BF-58A468F8B5B2}"/>
    <hyperlink ref="A8" location="'Ensalada de Pollo'!A1" display="'Ensalada de Pollo'!A1" xr:uid="{A02E87DF-AFE5-46B8-BCC4-C16F3E39C1BE}"/>
    <hyperlink ref="A9" location="'Desayuno Inglés'!A1" display="'Desayuno Inglés'!A1" xr:uid="{BA8FBF03-244A-467F-8265-6F3885D9FB98}"/>
    <hyperlink ref="A10" location="'Pastel de Ternera'!A1" display="'Pastel de Ternera'!A1" xr:uid="{9209EA8D-3070-44F6-AAF7-6E9DB19DFCBF}"/>
    <hyperlink ref="A11" location="'Pastel de Cordero'!A1" display="'Pastel de Cordero'!A1" xr:uid="{2AB96D83-B6EA-467F-9965-72052D062CC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42A67-C984-4EB0-9A6E-FA97F6A2BB15}">
  <sheetPr codeName="Hoja2"/>
  <dimension ref="A1:A25"/>
  <sheetViews>
    <sheetView workbookViewId="0">
      <selection activeCell="D12" sqref="D12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40</v>
      </c>
    </row>
    <row r="2" spans="1:1" x14ac:dyDescent="0.25">
      <c r="A2" t="s">
        <v>8</v>
      </c>
    </row>
    <row r="3" spans="1:1" x14ac:dyDescent="0.25">
      <c r="A3" t="s">
        <v>35</v>
      </c>
    </row>
    <row r="4" spans="1:1" x14ac:dyDescent="0.25">
      <c r="A4" t="s">
        <v>11</v>
      </c>
    </row>
    <row r="5" spans="1:1" x14ac:dyDescent="0.25">
      <c r="A5" t="s">
        <v>36</v>
      </c>
    </row>
    <row r="6" spans="1:1" x14ac:dyDescent="0.25">
      <c r="A6" t="s">
        <v>43</v>
      </c>
    </row>
    <row r="7" spans="1:1" x14ac:dyDescent="0.25">
      <c r="A7" t="s">
        <v>45</v>
      </c>
    </row>
    <row r="8" spans="1:1" x14ac:dyDescent="0.25">
      <c r="A8" t="s">
        <v>9</v>
      </c>
    </row>
    <row r="9" spans="1:1" x14ac:dyDescent="0.25">
      <c r="A9" t="s">
        <v>37</v>
      </c>
    </row>
    <row r="10" spans="1:1" x14ac:dyDescent="0.25">
      <c r="A10" t="s">
        <v>6</v>
      </c>
    </row>
    <row r="11" spans="1:1" x14ac:dyDescent="0.25">
      <c r="A11" t="s">
        <v>17</v>
      </c>
    </row>
    <row r="12" spans="1:1" x14ac:dyDescent="0.25">
      <c r="A12" t="s">
        <v>42</v>
      </c>
    </row>
    <row r="13" spans="1:1" x14ac:dyDescent="0.25">
      <c r="A13" t="s">
        <v>28</v>
      </c>
    </row>
    <row r="14" spans="1:1" x14ac:dyDescent="0.25">
      <c r="A14" t="s">
        <v>18</v>
      </c>
    </row>
    <row r="15" spans="1:1" x14ac:dyDescent="0.25">
      <c r="A15" t="s">
        <v>41</v>
      </c>
    </row>
    <row r="16" spans="1:1" x14ac:dyDescent="0.25">
      <c r="A16" t="s">
        <v>31</v>
      </c>
    </row>
    <row r="17" spans="1:1" x14ac:dyDescent="0.25">
      <c r="A17" t="s">
        <v>32</v>
      </c>
    </row>
    <row r="18" spans="1:1" x14ac:dyDescent="0.25">
      <c r="A18" t="s">
        <v>24</v>
      </c>
    </row>
    <row r="19" spans="1:1" x14ac:dyDescent="0.25">
      <c r="A19" t="s">
        <v>25</v>
      </c>
    </row>
    <row r="20" spans="1:1" x14ac:dyDescent="0.25">
      <c r="A20" t="s">
        <v>33</v>
      </c>
    </row>
    <row r="21" spans="1:1" x14ac:dyDescent="0.25">
      <c r="A21" t="s">
        <v>29</v>
      </c>
    </row>
    <row r="22" spans="1:1" x14ac:dyDescent="0.25">
      <c r="A22" t="s">
        <v>5</v>
      </c>
    </row>
    <row r="23" spans="1:1" x14ac:dyDescent="0.25">
      <c r="A23" t="s">
        <v>7</v>
      </c>
    </row>
    <row r="24" spans="1:1" x14ac:dyDescent="0.25">
      <c r="A24" t="s">
        <v>10</v>
      </c>
    </row>
    <row r="25" spans="1:1" x14ac:dyDescent="0.25">
      <c r="A25" t="s">
        <v>34</v>
      </c>
    </row>
  </sheetData>
  <sortState xmlns:xlrd2="http://schemas.microsoft.com/office/spreadsheetml/2017/richdata2" ref="A1:A25">
    <sortCondition ref="A1"/>
  </sortState>
  <conditionalFormatting sqref="A11">
    <cfRule type="expression" dxfId="11" priority="12">
      <formula>ISERROR(MATCH(A11,ingredientes,0))</formula>
    </cfRule>
  </conditionalFormatting>
  <conditionalFormatting sqref="A11">
    <cfRule type="expression" dxfId="10" priority="11">
      <formula>ISBLANK(A11)</formula>
    </cfRule>
  </conditionalFormatting>
  <conditionalFormatting sqref="A12:A13">
    <cfRule type="expression" dxfId="9" priority="10">
      <formula>ISERROR(MATCH(A12,ingredientes,0))</formula>
    </cfRule>
  </conditionalFormatting>
  <conditionalFormatting sqref="A12:A13">
    <cfRule type="expression" dxfId="8" priority="9">
      <formula>ISBLANK(A12)</formula>
    </cfRule>
  </conditionalFormatting>
  <conditionalFormatting sqref="A14:A18">
    <cfRule type="expression" dxfId="7" priority="8">
      <formula>ISERROR(MATCH(A14,ingredientes,0))</formula>
    </cfRule>
  </conditionalFormatting>
  <conditionalFormatting sqref="A14:A18">
    <cfRule type="expression" dxfId="6" priority="7">
      <formula>ISBLANK(A14)</formula>
    </cfRule>
  </conditionalFormatting>
  <conditionalFormatting sqref="A19:A20">
    <cfRule type="expression" dxfId="5" priority="6">
      <formula>ISERROR(MATCH(A19,ingredientes,0))</formula>
    </cfRule>
  </conditionalFormatting>
  <conditionalFormatting sqref="A19:A20">
    <cfRule type="expression" dxfId="4" priority="5">
      <formula>ISBLANK(A19)</formula>
    </cfRule>
  </conditionalFormatting>
  <conditionalFormatting sqref="A21:A24">
    <cfRule type="expression" dxfId="3" priority="4">
      <formula>ISERROR(MATCH(A21,ingredientes,0))</formula>
    </cfRule>
  </conditionalFormatting>
  <conditionalFormatting sqref="A21:A24">
    <cfRule type="expression" dxfId="2" priority="3">
      <formula>ISBLANK(A21)</formula>
    </cfRule>
  </conditionalFormatting>
  <conditionalFormatting sqref="A25">
    <cfRule type="expression" dxfId="1" priority="2">
      <formula>ISERROR(MATCH(A25,ingredientes,0))</formula>
    </cfRule>
  </conditionalFormatting>
  <conditionalFormatting sqref="A25">
    <cfRule type="expression" dxfId="0" priority="1">
      <formula>ISBLANK(A25)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4ECD8-1B9C-4105-9831-86ABDFEEEA5F}">
  <sheetPr codeName="Hoja3"/>
  <dimension ref="A1:C10"/>
  <sheetViews>
    <sheetView workbookViewId="0">
      <pane ySplit="5" topLeftCell="A6" activePane="bottomLeft" state="frozen"/>
      <selection pane="bottomLeft"/>
    </sheetView>
  </sheetViews>
  <sheetFormatPr baseColWidth="10" defaultRowHeight="15" x14ac:dyDescent="0.25"/>
  <cols>
    <col min="1" max="1" width="18.5703125" bestFit="1" customWidth="1"/>
    <col min="2" max="2" width="8.85546875" bestFit="1" customWidth="1"/>
    <col min="3" max="3" width="17.28515625" bestFit="1" customWidth="1"/>
  </cols>
  <sheetData>
    <row r="1" spans="1:3" ht="18.75" x14ac:dyDescent="0.3">
      <c r="A1" s="1" t="s">
        <v>12</v>
      </c>
    </row>
    <row r="3" spans="1:3" x14ac:dyDescent="0.25">
      <c r="A3" t="s">
        <v>13</v>
      </c>
      <c r="B3">
        <v>1</v>
      </c>
    </row>
    <row r="5" spans="1:3" x14ac:dyDescent="0.25">
      <c r="A5" t="s">
        <v>14</v>
      </c>
      <c r="B5" t="s">
        <v>15</v>
      </c>
      <c r="C5" t="s">
        <v>16</v>
      </c>
    </row>
    <row r="6" spans="1:3" x14ac:dyDescent="0.25">
      <c r="A6" t="s">
        <v>5</v>
      </c>
      <c r="B6">
        <v>3</v>
      </c>
      <c r="C6" t="s">
        <v>19</v>
      </c>
    </row>
    <row r="7" spans="1:3" x14ac:dyDescent="0.25">
      <c r="A7" t="s">
        <v>6</v>
      </c>
      <c r="B7">
        <v>50</v>
      </c>
      <c r="C7" t="s">
        <v>20</v>
      </c>
    </row>
    <row r="8" spans="1:3" x14ac:dyDescent="0.25">
      <c r="A8" t="s">
        <v>7</v>
      </c>
      <c r="B8">
        <v>1</v>
      </c>
      <c r="C8" t="s">
        <v>21</v>
      </c>
    </row>
    <row r="9" spans="1:3" x14ac:dyDescent="0.25">
      <c r="A9" t="s">
        <v>17</v>
      </c>
      <c r="B9">
        <v>20</v>
      </c>
      <c r="C9" t="s">
        <v>20</v>
      </c>
    </row>
    <row r="10" spans="1:3" x14ac:dyDescent="0.25">
      <c r="A10" t="s">
        <v>18</v>
      </c>
      <c r="B10">
        <v>2</v>
      </c>
      <c r="C10" t="s">
        <v>19</v>
      </c>
    </row>
  </sheetData>
  <conditionalFormatting sqref="A6:A20">
    <cfRule type="expression" dxfId="14" priority="3">
      <formula>ISERROR(MATCH(A6,ingredientes,0))</formula>
    </cfRule>
  </conditionalFormatting>
  <conditionalFormatting sqref="A20">
    <cfRule type="expression" dxfId="13" priority="2">
      <formula>ISBLANK(A20)</formula>
    </cfRule>
  </conditionalFormatting>
  <conditionalFormatting sqref="A6:A19">
    <cfRule type="expression" dxfId="12" priority="1">
      <formula>ISBLANK(A6)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r_a_recetario">
                <anchor moveWithCells="1" sizeWithCells="1">
                  <from>
                    <xdr:col>5</xdr:col>
                    <xdr:colOff>304800</xdr:colOff>
                    <xdr:row>1</xdr:row>
                    <xdr:rowOff>114300</xdr:rowOff>
                  </from>
                  <to>
                    <xdr:col>7</xdr:col>
                    <xdr:colOff>619125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DEDCD-D93D-4F3A-B500-F4DEBF431759}">
  <sheetPr codeName="Hoja4"/>
  <dimension ref="A1:D11"/>
  <sheetViews>
    <sheetView workbookViewId="0">
      <pane ySplit="5" topLeftCell="A6" activePane="bottomLeft" state="frozen"/>
      <selection pane="bottomLeft"/>
    </sheetView>
  </sheetViews>
  <sheetFormatPr baseColWidth="10" defaultRowHeight="15" x14ac:dyDescent="0.25"/>
  <cols>
    <col min="1" max="1" width="20" bestFit="1" customWidth="1"/>
    <col min="2" max="2" width="8.85546875" bestFit="1" customWidth="1"/>
    <col min="3" max="3" width="17.28515625" bestFit="1" customWidth="1"/>
    <col min="4" max="4" width="11.85546875" bestFit="1" customWidth="1"/>
  </cols>
  <sheetData>
    <row r="1" spans="1:4" ht="18.75" x14ac:dyDescent="0.3">
      <c r="A1" s="1" t="s">
        <v>22</v>
      </c>
    </row>
    <row r="3" spans="1:4" x14ac:dyDescent="0.25">
      <c r="A3" t="s">
        <v>13</v>
      </c>
      <c r="B3">
        <v>1</v>
      </c>
    </row>
    <row r="5" spans="1:4" x14ac:dyDescent="0.25">
      <c r="A5" t="s">
        <v>14</v>
      </c>
      <c r="B5" t="s">
        <v>15</v>
      </c>
      <c r="C5" t="s">
        <v>16</v>
      </c>
    </row>
    <row r="6" spans="1:4" x14ac:dyDescent="0.25">
      <c r="A6" t="s">
        <v>8</v>
      </c>
      <c r="B6">
        <v>500</v>
      </c>
      <c r="C6" t="s">
        <v>20</v>
      </c>
      <c r="D6" t="b">
        <f ca="1">ISERROR(MATCH(A6,ingredientes,0))</f>
        <v>0</v>
      </c>
    </row>
    <row r="7" spans="1:4" x14ac:dyDescent="0.25">
      <c r="A7" t="s">
        <v>9</v>
      </c>
      <c r="B7">
        <v>240</v>
      </c>
      <c r="C7" t="s">
        <v>20</v>
      </c>
      <c r="D7" t="b">
        <f ca="1">ISERROR(MATCH(A7,ingredientes,0))</f>
        <v>0</v>
      </c>
    </row>
    <row r="8" spans="1:4" x14ac:dyDescent="0.25">
      <c r="A8" t="s">
        <v>10</v>
      </c>
      <c r="B8">
        <v>400</v>
      </c>
      <c r="C8" t="s">
        <v>20</v>
      </c>
      <c r="D8" t="b">
        <f ca="1">ISERROR(MATCH(A8,ingredientes,0))</f>
        <v>0</v>
      </c>
    </row>
    <row r="9" spans="1:4" x14ac:dyDescent="0.25">
      <c r="A9" t="s">
        <v>24</v>
      </c>
      <c r="B9">
        <v>1</v>
      </c>
      <c r="C9" t="s">
        <v>23</v>
      </c>
      <c r="D9" t="b">
        <f ca="1">ISERROR(MATCH(A9,ingredientes,0))</f>
        <v>0</v>
      </c>
    </row>
    <row r="10" spans="1:4" x14ac:dyDescent="0.25">
      <c r="A10" t="s">
        <v>25</v>
      </c>
      <c r="B10">
        <v>1</v>
      </c>
      <c r="C10" t="s">
        <v>23</v>
      </c>
      <c r="D10" t="b">
        <f ca="1">ISERROR(MATCH(A10,ingredientes,0))</f>
        <v>0</v>
      </c>
    </row>
    <row r="11" spans="1:4" x14ac:dyDescent="0.25">
      <c r="A11" t="s">
        <v>11</v>
      </c>
      <c r="B11">
        <v>1</v>
      </c>
      <c r="C11" t="s">
        <v>26</v>
      </c>
      <c r="D11" t="b">
        <f ca="1">ISERROR(MATCH(A11,ingredientes,0))</f>
        <v>0</v>
      </c>
    </row>
  </sheetData>
  <conditionalFormatting sqref="A6:A20">
    <cfRule type="expression" dxfId="32" priority="3">
      <formula>ISERROR(MATCH(A6,ingredientes,0))</formula>
    </cfRule>
  </conditionalFormatting>
  <conditionalFormatting sqref="A20">
    <cfRule type="expression" dxfId="31" priority="2">
      <formula>ISBLANK(A20)</formula>
    </cfRule>
  </conditionalFormatting>
  <conditionalFormatting sqref="A6:A19">
    <cfRule type="expression" dxfId="30" priority="1">
      <formula>ISBLANK(A6)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r_a_recetario">
                <anchor moveWithCells="1" sizeWithCells="1">
                  <from>
                    <xdr:col>6</xdr:col>
                    <xdr:colOff>28575</xdr:colOff>
                    <xdr:row>1</xdr:row>
                    <xdr:rowOff>95250</xdr:rowOff>
                  </from>
                  <to>
                    <xdr:col>8</xdr:col>
                    <xdr:colOff>342900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0C78A-EE52-475A-8C3B-5E70944A8959}">
  <sheetPr codeName="Hoja5"/>
  <dimension ref="A1:C11"/>
  <sheetViews>
    <sheetView workbookViewId="0">
      <pane ySplit="5" topLeftCell="A6" activePane="bottomLeft" state="frozen"/>
      <selection pane="bottomLeft"/>
    </sheetView>
  </sheetViews>
  <sheetFormatPr baseColWidth="10" defaultRowHeight="15" x14ac:dyDescent="0.25"/>
  <cols>
    <col min="1" max="1" width="20" bestFit="1" customWidth="1"/>
    <col min="2" max="2" width="8.85546875" bestFit="1" customWidth="1"/>
    <col min="3" max="3" width="17.28515625" bestFit="1" customWidth="1"/>
  </cols>
  <sheetData>
    <row r="1" spans="1:3" ht="18.75" x14ac:dyDescent="0.3">
      <c r="A1" s="1" t="s">
        <v>27</v>
      </c>
    </row>
    <row r="3" spans="1:3" x14ac:dyDescent="0.25">
      <c r="A3" t="s">
        <v>13</v>
      </c>
      <c r="B3">
        <v>2</v>
      </c>
    </row>
    <row r="5" spans="1:3" x14ac:dyDescent="0.25">
      <c r="A5" t="s">
        <v>14</v>
      </c>
      <c r="B5" t="s">
        <v>15</v>
      </c>
      <c r="C5" t="s">
        <v>16</v>
      </c>
    </row>
    <row r="6" spans="1:3" x14ac:dyDescent="0.25">
      <c r="A6" t="s">
        <v>8</v>
      </c>
      <c r="B6">
        <v>500</v>
      </c>
      <c r="C6" t="s">
        <v>20</v>
      </c>
    </row>
    <row r="7" spans="1:3" x14ac:dyDescent="0.25">
      <c r="A7" t="s">
        <v>28</v>
      </c>
      <c r="B7">
        <v>240</v>
      </c>
      <c r="C7" t="s">
        <v>20</v>
      </c>
    </row>
    <row r="8" spans="1:3" x14ac:dyDescent="0.25">
      <c r="A8" t="s">
        <v>10</v>
      </c>
      <c r="B8">
        <v>400</v>
      </c>
      <c r="C8" t="s">
        <v>20</v>
      </c>
    </row>
    <row r="9" spans="1:3" x14ac:dyDescent="0.25">
      <c r="A9" t="s">
        <v>24</v>
      </c>
      <c r="B9">
        <v>1</v>
      </c>
      <c r="C9" t="s">
        <v>23</v>
      </c>
    </row>
    <row r="10" spans="1:3" x14ac:dyDescent="0.25">
      <c r="A10" t="s">
        <v>25</v>
      </c>
      <c r="B10">
        <v>1</v>
      </c>
      <c r="C10" t="s">
        <v>23</v>
      </c>
    </row>
    <row r="11" spans="1:3" x14ac:dyDescent="0.25">
      <c r="A11" t="s">
        <v>29</v>
      </c>
      <c r="B11">
        <v>50</v>
      </c>
      <c r="C11" t="s">
        <v>20</v>
      </c>
    </row>
  </sheetData>
  <conditionalFormatting sqref="A6:A20">
    <cfRule type="expression" dxfId="29" priority="3">
      <formula>ISERROR(MATCH(A6,ingredientes,0))</formula>
    </cfRule>
  </conditionalFormatting>
  <conditionalFormatting sqref="A20">
    <cfRule type="expression" dxfId="28" priority="2">
      <formula>ISBLANK(A20)</formula>
    </cfRule>
  </conditionalFormatting>
  <conditionalFormatting sqref="A6:A19">
    <cfRule type="expression" dxfId="27" priority="1">
      <formula>ISBLANK(A6)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r_a_recetario">
                <anchor moveWithCells="1" sizeWithCells="1">
                  <from>
                    <xdr:col>6</xdr:col>
                    <xdr:colOff>209550</xdr:colOff>
                    <xdr:row>1</xdr:row>
                    <xdr:rowOff>114300</xdr:rowOff>
                  </from>
                  <to>
                    <xdr:col>8</xdr:col>
                    <xdr:colOff>523875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92EB3-5BD9-42AB-BD00-0EEF7262D19C}">
  <sheetPr codeName="Hoja6"/>
  <dimension ref="A1:C12"/>
  <sheetViews>
    <sheetView workbookViewId="0">
      <pane ySplit="5" topLeftCell="A6" activePane="bottomLeft" state="frozen"/>
      <selection pane="bottomLeft"/>
    </sheetView>
  </sheetViews>
  <sheetFormatPr baseColWidth="10" defaultRowHeight="15" x14ac:dyDescent="0.25"/>
  <cols>
    <col min="1" max="1" width="20" bestFit="1" customWidth="1"/>
    <col min="2" max="2" width="8.85546875" bestFit="1" customWidth="1"/>
    <col min="3" max="3" width="17.28515625" bestFit="1" customWidth="1"/>
  </cols>
  <sheetData>
    <row r="1" spans="1:3" ht="18.75" x14ac:dyDescent="0.3">
      <c r="A1" s="1" t="s">
        <v>30</v>
      </c>
    </row>
    <row r="3" spans="1:3" x14ac:dyDescent="0.25">
      <c r="A3" t="s">
        <v>13</v>
      </c>
      <c r="B3">
        <v>1</v>
      </c>
    </row>
    <row r="5" spans="1:3" x14ac:dyDescent="0.25">
      <c r="A5" t="s">
        <v>14</v>
      </c>
      <c r="B5" t="s">
        <v>15</v>
      </c>
      <c r="C5" t="s">
        <v>16</v>
      </c>
    </row>
    <row r="6" spans="1:3" x14ac:dyDescent="0.25">
      <c r="A6" t="s">
        <v>31</v>
      </c>
      <c r="B6">
        <v>250</v>
      </c>
      <c r="C6" t="s">
        <v>20</v>
      </c>
    </row>
    <row r="7" spans="1:3" x14ac:dyDescent="0.25">
      <c r="A7" t="s">
        <v>6</v>
      </c>
      <c r="B7">
        <v>100</v>
      </c>
      <c r="C7" t="s">
        <v>20</v>
      </c>
    </row>
    <row r="8" spans="1:3" x14ac:dyDescent="0.25">
      <c r="A8" t="s">
        <v>7</v>
      </c>
      <c r="B8">
        <v>100</v>
      </c>
      <c r="C8" t="s">
        <v>20</v>
      </c>
    </row>
    <row r="9" spans="1:3" x14ac:dyDescent="0.25">
      <c r="A9" t="s">
        <v>32</v>
      </c>
      <c r="B9">
        <v>50</v>
      </c>
      <c r="C9" t="s">
        <v>20</v>
      </c>
    </row>
    <row r="10" spans="1:3" x14ac:dyDescent="0.25">
      <c r="A10" t="s">
        <v>33</v>
      </c>
      <c r="B10">
        <v>50</v>
      </c>
      <c r="C10" t="s">
        <v>20</v>
      </c>
    </row>
    <row r="11" spans="1:3" x14ac:dyDescent="0.25">
      <c r="A11" t="s">
        <v>34</v>
      </c>
      <c r="B11">
        <v>50</v>
      </c>
      <c r="C11" t="s">
        <v>20</v>
      </c>
    </row>
    <row r="12" spans="1:3" x14ac:dyDescent="0.25">
      <c r="A12" t="s">
        <v>35</v>
      </c>
      <c r="B12">
        <v>30</v>
      </c>
      <c r="C12" t="s">
        <v>20</v>
      </c>
    </row>
  </sheetData>
  <conditionalFormatting sqref="A6:A20">
    <cfRule type="expression" dxfId="26" priority="3">
      <formula>ISERROR(MATCH(A6,ingredientes,0))</formula>
    </cfRule>
  </conditionalFormatting>
  <conditionalFormatting sqref="A20">
    <cfRule type="expression" dxfId="25" priority="2">
      <formula>ISBLANK(A20)</formula>
    </cfRule>
  </conditionalFormatting>
  <conditionalFormatting sqref="A6:A19">
    <cfRule type="expression" dxfId="24" priority="1">
      <formula>ISBLANK(A6)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r_a_recetario">
                <anchor moveWithCells="1" sizeWithCells="1">
                  <from>
                    <xdr:col>6</xdr:col>
                    <xdr:colOff>209550</xdr:colOff>
                    <xdr:row>1</xdr:row>
                    <xdr:rowOff>114300</xdr:rowOff>
                  </from>
                  <to>
                    <xdr:col>8</xdr:col>
                    <xdr:colOff>523875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A1B70-BFC0-488A-8870-61B8A3E7F3FA}">
  <sheetPr codeName="Hoja7"/>
  <dimension ref="A1:C11"/>
  <sheetViews>
    <sheetView workbookViewId="0">
      <pane ySplit="5" topLeftCell="A6" activePane="bottomLeft" state="frozen"/>
      <selection pane="bottomLeft"/>
    </sheetView>
  </sheetViews>
  <sheetFormatPr baseColWidth="10" defaultRowHeight="15" x14ac:dyDescent="0.25"/>
  <cols>
    <col min="1" max="1" width="20" bestFit="1" customWidth="1"/>
    <col min="2" max="2" width="8.85546875" bestFit="1" customWidth="1"/>
    <col min="3" max="3" width="17.28515625" bestFit="1" customWidth="1"/>
  </cols>
  <sheetData>
    <row r="1" spans="1:3" ht="18.75" x14ac:dyDescent="0.3">
      <c r="A1" s="1" t="s">
        <v>38</v>
      </c>
    </row>
    <row r="3" spans="1:3" x14ac:dyDescent="0.25">
      <c r="A3" t="s">
        <v>13</v>
      </c>
      <c r="B3">
        <v>1</v>
      </c>
    </row>
    <row r="5" spans="1:3" x14ac:dyDescent="0.25">
      <c r="A5" t="s">
        <v>14</v>
      </c>
      <c r="B5" t="s">
        <v>15</v>
      </c>
      <c r="C5" t="s">
        <v>16</v>
      </c>
    </row>
    <row r="6" spans="1:3" x14ac:dyDescent="0.25">
      <c r="A6" t="s">
        <v>5</v>
      </c>
      <c r="B6">
        <v>3</v>
      </c>
      <c r="C6" t="s">
        <v>19</v>
      </c>
    </row>
    <row r="7" spans="1:3" x14ac:dyDescent="0.25">
      <c r="A7" t="s">
        <v>36</v>
      </c>
      <c r="B7">
        <v>2</v>
      </c>
      <c r="C7" t="s">
        <v>21</v>
      </c>
    </row>
    <row r="8" spans="1:3" x14ac:dyDescent="0.25">
      <c r="A8" t="s">
        <v>37</v>
      </c>
      <c r="B8">
        <v>2</v>
      </c>
      <c r="C8" t="s">
        <v>21</v>
      </c>
    </row>
    <row r="9" spans="1:3" x14ac:dyDescent="0.25">
      <c r="A9" t="s">
        <v>10</v>
      </c>
      <c r="B9">
        <v>100</v>
      </c>
      <c r="C9" t="s">
        <v>20</v>
      </c>
    </row>
    <row r="10" spans="1:3" x14ac:dyDescent="0.25">
      <c r="A10" t="s">
        <v>25</v>
      </c>
      <c r="B10">
        <v>1</v>
      </c>
      <c r="C10" t="s">
        <v>21</v>
      </c>
    </row>
    <row r="11" spans="1:3" x14ac:dyDescent="0.25">
      <c r="A11" t="s">
        <v>11</v>
      </c>
      <c r="B11">
        <v>1</v>
      </c>
      <c r="C11" t="s">
        <v>26</v>
      </c>
    </row>
  </sheetData>
  <conditionalFormatting sqref="A6:A20">
    <cfRule type="expression" dxfId="23" priority="3">
      <formula>ISERROR(MATCH(A6,ingredientes,0))</formula>
    </cfRule>
  </conditionalFormatting>
  <conditionalFormatting sqref="A20">
    <cfRule type="expression" dxfId="22" priority="2">
      <formula>ISBLANK(A20)</formula>
    </cfRule>
  </conditionalFormatting>
  <conditionalFormatting sqref="A6:A19">
    <cfRule type="expression" dxfId="21" priority="1">
      <formula>ISBLANK(A6)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Ir_a_recetario">
                <anchor moveWithCells="1" sizeWithCells="1">
                  <from>
                    <xdr:col>6</xdr:col>
                    <xdr:colOff>209550</xdr:colOff>
                    <xdr:row>1</xdr:row>
                    <xdr:rowOff>114300</xdr:rowOff>
                  </from>
                  <to>
                    <xdr:col>8</xdr:col>
                    <xdr:colOff>523875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632DC-9D7A-4BC9-9093-984EC721EA72}">
  <sheetPr codeName="Hoja8"/>
  <dimension ref="A1:C11"/>
  <sheetViews>
    <sheetView workbookViewId="0">
      <pane ySplit="5" topLeftCell="A6" activePane="bottomLeft" state="frozen"/>
      <selection pane="bottomLeft"/>
    </sheetView>
  </sheetViews>
  <sheetFormatPr baseColWidth="10" defaultRowHeight="15" x14ac:dyDescent="0.25"/>
  <cols>
    <col min="1" max="1" width="20" bestFit="1" customWidth="1"/>
    <col min="2" max="2" width="8.85546875" bestFit="1" customWidth="1"/>
    <col min="3" max="3" width="17.28515625" bestFit="1" customWidth="1"/>
  </cols>
  <sheetData>
    <row r="1" spans="1:3" ht="18.75" x14ac:dyDescent="0.3">
      <c r="A1" s="1" t="s">
        <v>39</v>
      </c>
    </row>
    <row r="3" spans="1:3" x14ac:dyDescent="0.25">
      <c r="A3" t="s">
        <v>13</v>
      </c>
      <c r="B3">
        <v>1</v>
      </c>
    </row>
    <row r="5" spans="1:3" x14ac:dyDescent="0.25">
      <c r="A5" t="s">
        <v>14</v>
      </c>
      <c r="B5" t="s">
        <v>15</v>
      </c>
      <c r="C5" t="s">
        <v>16</v>
      </c>
    </row>
    <row r="6" spans="1:3" x14ac:dyDescent="0.25">
      <c r="A6" t="s">
        <v>8</v>
      </c>
      <c r="B6">
        <v>500</v>
      </c>
      <c r="C6" t="s">
        <v>20</v>
      </c>
    </row>
    <row r="7" spans="1:3" x14ac:dyDescent="0.25">
      <c r="A7" t="s">
        <v>41</v>
      </c>
      <c r="B7">
        <v>200</v>
      </c>
      <c r="C7" t="s">
        <v>20</v>
      </c>
    </row>
    <row r="8" spans="1:3" x14ac:dyDescent="0.25">
      <c r="A8" t="s">
        <v>42</v>
      </c>
      <c r="B8">
        <v>200</v>
      </c>
      <c r="C8" t="s">
        <v>20</v>
      </c>
    </row>
    <row r="9" spans="1:3" x14ac:dyDescent="0.25">
      <c r="A9" t="s">
        <v>34</v>
      </c>
      <c r="B9">
        <v>50</v>
      </c>
      <c r="C9" t="s">
        <v>20</v>
      </c>
    </row>
    <row r="10" spans="1:3" x14ac:dyDescent="0.25">
      <c r="A10" t="s">
        <v>40</v>
      </c>
      <c r="B10">
        <v>50</v>
      </c>
      <c r="C10" t="s">
        <v>20</v>
      </c>
    </row>
    <row r="11" spans="1:3" x14ac:dyDescent="0.25">
      <c r="A11" t="s">
        <v>43</v>
      </c>
      <c r="B11">
        <v>50</v>
      </c>
      <c r="C11" t="s">
        <v>20</v>
      </c>
    </row>
  </sheetData>
  <conditionalFormatting sqref="A6:A20">
    <cfRule type="expression" dxfId="20" priority="3">
      <formula>ISERROR(MATCH(A6,ingredientes,0))</formula>
    </cfRule>
  </conditionalFormatting>
  <conditionalFormatting sqref="A20">
    <cfRule type="expression" dxfId="19" priority="2">
      <formula>ISBLANK(A20)</formula>
    </cfRule>
  </conditionalFormatting>
  <conditionalFormatting sqref="A6:A19">
    <cfRule type="expression" dxfId="18" priority="1">
      <formula>ISBLANK(A6)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_a_recetario">
                <anchor moveWithCells="1" sizeWithCells="1">
                  <from>
                    <xdr:col>6</xdr:col>
                    <xdr:colOff>209550</xdr:colOff>
                    <xdr:row>1</xdr:row>
                    <xdr:rowOff>114300</xdr:rowOff>
                  </from>
                  <to>
                    <xdr:col>8</xdr:col>
                    <xdr:colOff>523875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4E85A-843E-4221-A4C3-F5757B3B91CA}">
  <sheetPr codeName="Hoja9"/>
  <dimension ref="A1:C11"/>
  <sheetViews>
    <sheetView workbookViewId="0">
      <pane ySplit="5" topLeftCell="A6" activePane="bottomLeft" state="frozen"/>
      <selection pane="bottomLeft"/>
    </sheetView>
  </sheetViews>
  <sheetFormatPr baseColWidth="10" defaultRowHeight="15" x14ac:dyDescent="0.25"/>
  <cols>
    <col min="1" max="1" width="20" bestFit="1" customWidth="1"/>
    <col min="2" max="2" width="8.85546875" bestFit="1" customWidth="1"/>
    <col min="3" max="3" width="17.28515625" bestFit="1" customWidth="1"/>
  </cols>
  <sheetData>
    <row r="1" spans="1:3" ht="18.75" x14ac:dyDescent="0.3">
      <c r="A1" s="1" t="s">
        <v>44</v>
      </c>
    </row>
    <row r="3" spans="1:3" x14ac:dyDescent="0.25">
      <c r="A3" t="s">
        <v>13</v>
      </c>
      <c r="B3">
        <v>1</v>
      </c>
    </row>
    <row r="5" spans="1:3" x14ac:dyDescent="0.25">
      <c r="A5" t="s">
        <v>14</v>
      </c>
      <c r="B5" t="s">
        <v>15</v>
      </c>
      <c r="C5" t="s">
        <v>16</v>
      </c>
    </row>
    <row r="6" spans="1:3" x14ac:dyDescent="0.25">
      <c r="A6" t="s">
        <v>45</v>
      </c>
      <c r="B6">
        <v>500</v>
      </c>
      <c r="C6" t="s">
        <v>20</v>
      </c>
    </row>
    <row r="7" spans="1:3" x14ac:dyDescent="0.25">
      <c r="A7" t="s">
        <v>41</v>
      </c>
      <c r="B7">
        <v>200</v>
      </c>
      <c r="C7" t="s">
        <v>20</v>
      </c>
    </row>
    <row r="8" spans="1:3" x14ac:dyDescent="0.25">
      <c r="A8" t="s">
        <v>42</v>
      </c>
      <c r="B8">
        <v>200</v>
      </c>
      <c r="C8" t="s">
        <v>20</v>
      </c>
    </row>
    <row r="9" spans="1:3" x14ac:dyDescent="0.25">
      <c r="A9" t="s">
        <v>34</v>
      </c>
      <c r="B9">
        <v>50</v>
      </c>
      <c r="C9" t="s">
        <v>20</v>
      </c>
    </row>
    <row r="10" spans="1:3" x14ac:dyDescent="0.25">
      <c r="A10" t="s">
        <v>40</v>
      </c>
      <c r="B10">
        <v>50</v>
      </c>
      <c r="C10" t="s">
        <v>20</v>
      </c>
    </row>
    <row r="11" spans="1:3" x14ac:dyDescent="0.25">
      <c r="A11" t="s">
        <v>43</v>
      </c>
      <c r="B11">
        <v>50</v>
      </c>
      <c r="C11" t="s">
        <v>20</v>
      </c>
    </row>
  </sheetData>
  <conditionalFormatting sqref="A6:A20">
    <cfRule type="expression" dxfId="17" priority="3">
      <formula>ISERROR(MATCH(A6,ingredientes,0))</formula>
    </cfRule>
  </conditionalFormatting>
  <conditionalFormatting sqref="A20">
    <cfRule type="expression" dxfId="16" priority="2">
      <formula>ISBLANK(A20)</formula>
    </cfRule>
  </conditionalFormatting>
  <conditionalFormatting sqref="A6:A19">
    <cfRule type="expression" dxfId="15" priority="1">
      <formula>ISBLANK(A6)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Ir_a_recetario">
                <anchor moveWithCells="1" sizeWithCells="1">
                  <from>
                    <xdr:col>6</xdr:col>
                    <xdr:colOff>209550</xdr:colOff>
                    <xdr:row>1</xdr:row>
                    <xdr:rowOff>114300</xdr:rowOff>
                  </from>
                  <to>
                    <xdr:col>8</xdr:col>
                    <xdr:colOff>523875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RECETARIO</vt:lpstr>
      <vt:lpstr>Ingredientes</vt:lpstr>
      <vt:lpstr>Sanguche de Tocino</vt:lpstr>
      <vt:lpstr>Chile con Carne</vt:lpstr>
      <vt:lpstr>Spagetti a la Bolognesa</vt:lpstr>
      <vt:lpstr>Ensalada de Pollo</vt:lpstr>
      <vt:lpstr>Desayuno Inglés</vt:lpstr>
      <vt:lpstr>Pastel de Ternera</vt:lpstr>
      <vt:lpstr>Pastel de Cordero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Full name</dc:creator>
  <cp:lastModifiedBy>David Cisneros</cp:lastModifiedBy>
  <dcterms:created xsi:type="dcterms:W3CDTF">2019-03-17T20:37:18Z</dcterms:created>
  <dcterms:modified xsi:type="dcterms:W3CDTF">2020-09-18T20:57:19Z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107eae75-7005-4e84-8ae0-73911951569f</vt:lpwstr>
  </property>
</Properties>
</file>